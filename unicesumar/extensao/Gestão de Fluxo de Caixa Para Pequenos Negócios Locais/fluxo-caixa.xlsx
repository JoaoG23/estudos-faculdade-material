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estudos\faculdade\unicesumar\extensao\Gestão de Fluxo de Caixa Para Pequenos Negócios Locais\"/>
    </mc:Choice>
  </mc:AlternateContent>
  <xr:revisionPtr revIDLastSave="0" documentId="8_{BB6E956A-7872-4764-9702-E8D3FB154C50}" xr6:coauthVersionLast="47" xr6:coauthVersionMax="47" xr10:uidLastSave="{00000000-0000-0000-0000-000000000000}"/>
  <bookViews>
    <workbookView xWindow="-108" yWindow="-108" windowWidth="23256" windowHeight="12456" xr2:uid="{AF0A9189-2F41-4237-A5E0-61A30094EB4D}"/>
  </bookViews>
  <sheets>
    <sheet name="Fluxo de Caixa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1" i="1" l="1"/>
  <c r="D41" i="1"/>
  <c r="E3" i="1"/>
  <c r="E4" i="1" s="1"/>
  <c r="E5" i="1" s="1"/>
  <c r="E6" i="1" s="1"/>
  <c r="E7" i="1" l="1"/>
  <c r="E8" i="1" s="1"/>
  <c r="E9" i="1" s="1"/>
  <c r="E10" i="1" s="1"/>
  <c r="E11" i="1" s="1"/>
  <c r="E18" i="1" l="1"/>
  <c r="E25" i="1" s="1"/>
  <c r="E32" i="1" s="1"/>
  <c r="E39" i="1" s="1"/>
  <c r="E12" i="1"/>
  <c r="E13" i="1" l="1"/>
  <c r="E19" i="1"/>
  <c r="E26" i="1" s="1"/>
  <c r="E33" i="1" s="1"/>
  <c r="E40" i="1" s="1"/>
  <c r="E14" i="1" l="1"/>
  <c r="E20" i="1"/>
  <c r="E27" i="1" s="1"/>
  <c r="E34" i="1" s="1"/>
  <c r="E41" i="1" s="1"/>
  <c r="E15" i="1" l="1"/>
  <c r="E21" i="1"/>
  <c r="E28" i="1" s="1"/>
  <c r="E35" i="1" s="1"/>
  <c r="E16" i="1" l="1"/>
  <c r="E22" i="1"/>
  <c r="E29" i="1" s="1"/>
  <c r="E36" i="1" s="1"/>
  <c r="E17" i="1" l="1"/>
  <c r="E24" i="1" s="1"/>
  <c r="E31" i="1" s="1"/>
  <c r="E38" i="1" s="1"/>
  <c r="E23" i="1"/>
  <c r="E30" i="1" s="1"/>
  <c r="E37" i="1" s="1"/>
</calcChain>
</file>

<file path=xl/sharedStrings.xml><?xml version="1.0" encoding="utf-8"?>
<sst xmlns="http://schemas.openxmlformats.org/spreadsheetml/2006/main" count="46" uniqueCount="46">
  <si>
    <t>DATA</t>
  </si>
  <si>
    <t>DESCRIÇÃO</t>
  </si>
  <si>
    <t>RECEITAS (R$)</t>
  </si>
  <si>
    <t>DESPESAS (R$)</t>
  </si>
  <si>
    <t>SALDO INICIAL</t>
  </si>
  <si>
    <t>SALDO</t>
  </si>
  <si>
    <t>Compra de Domínio e Hospedagem de Site</t>
  </si>
  <si>
    <t>Aluguel (Escritório/Coworking)</t>
  </si>
  <si>
    <t>Venda de Produtos A (Licença de Software Standard)</t>
  </si>
  <si>
    <t>Salário Desenvolvedor Júnior</t>
  </si>
  <si>
    <t>Assinatura de Ferramenta de Gestão de Projetos (Jira/Trello)</t>
  </si>
  <si>
    <t>Recebimento de Manutenção de Sistemas (Cliente Beta)</t>
  </si>
  <si>
    <t>Plano de Telefonia e Internet</t>
  </si>
  <si>
    <t>Serviços de Migração de Dados</t>
  </si>
  <si>
    <t>Compra de Estoque (Licenças de Terceiros p/ Revenda)</t>
  </si>
  <si>
    <t>Assinatura de Ferramentas de Design (Figma, etc.)</t>
  </si>
  <si>
    <t>Pagamento de 2ª Parcela - Projeto Mobile App</t>
  </si>
  <si>
    <t>Treinamento/Curso (Certificação de Equipe)</t>
  </si>
  <si>
    <t>Pagamento de Milestone 1 - Projeto API</t>
  </si>
  <si>
    <t>Honorários (Pagamento de 1ª Parcela - Projeto Web App)</t>
  </si>
  <si>
    <t>Custo de Hospedagem de Servidores (AWS/Azure/GCP)</t>
  </si>
  <si>
    <t>Despesas de Viagem (Consultoria Presencial)</t>
  </si>
  <si>
    <t>Consultoria em Segurança da Informação (10h)</t>
  </si>
  <si>
    <t>Energia Elétrica (Contas de Consumo)</t>
  </si>
  <si>
    <t>Venda de Horas Extras de Desenvolvimento</t>
  </si>
  <si>
    <t>Contratação de Freelancer (Teste de Software)</t>
  </si>
  <si>
    <t>Salário Designer UX/UI</t>
  </si>
  <si>
    <t>Software de Antivírus e Segurança</t>
  </si>
  <si>
    <t>Consultoria Estratégica de Transformação Digital</t>
  </si>
  <si>
    <t>Compra de Novo Hardware (Notebook p/ Desenvolvedor)</t>
  </si>
  <si>
    <t>Material de Escritório e Suprimentos</t>
  </si>
  <si>
    <t>Receita de Assinatura Mensal (SaaS)</t>
  </si>
  <si>
    <t>Marketing Digital (Anúncios Google/Redes Sociais)</t>
  </si>
  <si>
    <t>Venda de Treinamento de Uso de Software</t>
  </si>
  <si>
    <t>Marketing Digital (Serviço de Agência - Criação de Conteúdo)</t>
  </si>
  <si>
    <t>Salário Estagiário (Meio Período)</t>
  </si>
  <si>
    <t>Recebimento de Adiantamento - Novo Projeto</t>
  </si>
  <si>
    <t>Pagamento de Impostos (Simples Nacional/ISS)</t>
  </si>
  <si>
    <t>Recebimento de Royalties sobre Plugin</t>
  </si>
  <si>
    <t>RESUMO DO MÊS</t>
  </si>
  <si>
    <t>Venda de Serviços  Protótipo UX/UI</t>
  </si>
  <si>
    <t>TOTAIS</t>
  </si>
  <si>
    <t>FLUXO DE CAIXA   OUTUBRO/2025 - JG SMALL SOLUTIONS</t>
  </si>
  <si>
    <t>Recebimento Cliente IXNO(Consultoria de Arquitetura de TI)</t>
  </si>
  <si>
    <t>Venda de Licença Enterprise (Software )</t>
  </si>
  <si>
    <t>Venda de Módulo Adicional (Software Balancete 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</si>
</sst>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90000"/>
      <name val="Calibri"/>
      <family val="2"/>
      <scheme val="minor"/>
    </font>
    <font>
      <b/>
      <sz val="11"/>
      <color rgb="FF99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4"/>
      <color theme="8" tint="0.7999816888943144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44" fontId="0" fillId="0" borderId="0" xfId="1" applyFont="1"/>
    <xf numFmtId="0" fontId="0" fillId="0" borderId="0" xfId="0" applyFont="1"/>
    <xf numFmtId="0" fontId="0" fillId="0" borderId="0" xfId="0" applyFont="1" applyAlignment="1">
      <alignment horizontal="center"/>
    </xf>
    <xf numFmtId="14" fontId="0" fillId="0" borderId="0" xfId="0" applyNumberForma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44" fontId="3" fillId="0" borderId="0" xfId="1" applyFont="1" applyAlignment="1">
      <alignment vertical="center" wrapText="1"/>
    </xf>
    <xf numFmtId="4" fontId="4" fillId="0" borderId="0" xfId="0" applyNumberFormat="1" applyFont="1" applyAlignment="1">
      <alignment vertical="center" wrapText="1"/>
    </xf>
    <xf numFmtId="44" fontId="5" fillId="0" borderId="0" xfId="1" applyFont="1" applyAlignment="1">
      <alignment vertical="center" wrapText="1"/>
    </xf>
    <xf numFmtId="4" fontId="6" fillId="0" borderId="0" xfId="0" applyNumberFormat="1" applyFont="1" applyAlignment="1">
      <alignment vertical="center" wrapText="1"/>
    </xf>
    <xf numFmtId="0" fontId="7" fillId="2" borderId="0" xfId="0" applyFont="1" applyFill="1" applyAlignment="1">
      <alignment horizontal="center"/>
    </xf>
  </cellXfs>
  <cellStyles count="2">
    <cellStyle name="Moeda" xfId="1" builtinId="4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B05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90000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99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25B369-D183-43C9-9818-E9585746790C}" name="Tabela3" displayName="Tabela3" ref="A2:E41" totalsRowShown="0" headerRowDxfId="4">
  <autoFilter ref="A2:E41" xr:uid="{EC25B369-D183-43C9-9818-E9585746790C}"/>
  <tableColumns count="5">
    <tableColumn id="1" xr3:uid="{DD407C4C-85A8-47B2-B5C8-DBA400A17D89}" name="DATA" dataDxfId="5"/>
    <tableColumn id="2" xr3:uid="{16340942-5CF4-49FD-B95C-7C44C1E309ED}" name="DESCRIÇÃO" dataDxfId="2"/>
    <tableColumn id="3" xr3:uid="{A5C50DA3-1685-4ECF-B167-8102462AEB99}" name="RECEITAS (R$)" dataDxfId="0" dataCellStyle="Moeda"/>
    <tableColumn id="4" xr3:uid="{49341C19-5AEA-4061-B79A-873BB7F1CFD0}" name="DESPESAS (R$)" dataDxfId="1" dataCellStyle="Moeda"/>
    <tableColumn id="5" xr3:uid="{0EB7C0E1-6769-466D-A11A-BDD78CF5D00D}" name="SALDO" dataDxfId="3" dataCellStyle="Moed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E4C5C-E6AA-4DC0-B96A-CC889D1D4216}">
  <dimension ref="A1:E41"/>
  <sheetViews>
    <sheetView tabSelected="1" zoomScaleNormal="100" zoomScaleSheetLayoutView="100" workbookViewId="0">
      <selection sqref="A1:E1"/>
    </sheetView>
  </sheetViews>
  <sheetFormatPr defaultRowHeight="14.4" x14ac:dyDescent="0.3"/>
  <cols>
    <col min="1" max="1" width="17.6640625" style="2" bestFit="1" customWidth="1"/>
    <col min="2" max="2" width="24.44140625" style="2" bestFit="1" customWidth="1"/>
    <col min="3" max="3" width="16.5546875" style="2" bestFit="1" customWidth="1"/>
    <col min="4" max="4" width="16.33203125" style="2" bestFit="1" customWidth="1"/>
    <col min="5" max="5" width="16.5546875" style="2" bestFit="1" customWidth="1"/>
    <col min="6" max="16384" width="8.88671875" style="2"/>
  </cols>
  <sheetData>
    <row r="1" spans="1:5" ht="18" x14ac:dyDescent="0.35">
      <c r="A1" s="12" t="s">
        <v>42</v>
      </c>
      <c r="B1" s="12"/>
      <c r="C1" s="12"/>
      <c r="D1" s="12"/>
      <c r="E1" s="12"/>
    </row>
    <row r="2" spans="1:5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5</v>
      </c>
    </row>
    <row r="3" spans="1:5" x14ac:dyDescent="0.3">
      <c r="A3" s="5">
        <v>45931</v>
      </c>
      <c r="B3" s="7" t="s">
        <v>4</v>
      </c>
      <c r="C3" s="10"/>
      <c r="D3" s="8"/>
      <c r="E3" s="1">
        <f>SUM(C3,D3)</f>
        <v>0</v>
      </c>
    </row>
    <row r="4" spans="1:5" ht="28.8" x14ac:dyDescent="0.3">
      <c r="A4" s="4">
        <v>45932</v>
      </c>
      <c r="B4" s="6" t="s">
        <v>40</v>
      </c>
      <c r="C4" s="10">
        <v>3000</v>
      </c>
      <c r="D4" s="8">
        <v>0</v>
      </c>
      <c r="E4" s="1">
        <f>SUM((E3+C4)-D4)</f>
        <v>3000</v>
      </c>
    </row>
    <row r="5" spans="1:5" ht="28.8" x14ac:dyDescent="0.3">
      <c r="A5" s="4">
        <v>45933</v>
      </c>
      <c r="B5" s="6" t="s">
        <v>44</v>
      </c>
      <c r="C5" s="10">
        <v>15000</v>
      </c>
      <c r="D5" s="8">
        <v>0</v>
      </c>
      <c r="E5" s="1">
        <f t="shared" ref="E5:E17" si="0">SUM((E4+C5)-D5)</f>
        <v>18000</v>
      </c>
    </row>
    <row r="6" spans="1:5" ht="28.8" x14ac:dyDescent="0.3">
      <c r="A6" s="4">
        <v>45934</v>
      </c>
      <c r="B6" s="6" t="s">
        <v>6</v>
      </c>
      <c r="C6" s="10">
        <v>0</v>
      </c>
      <c r="D6" s="8">
        <v>250</v>
      </c>
      <c r="E6" s="1">
        <f>SUM((E5+C6)-D6)</f>
        <v>17750</v>
      </c>
    </row>
    <row r="7" spans="1:5" ht="28.8" x14ac:dyDescent="0.3">
      <c r="A7" s="4">
        <v>45935</v>
      </c>
      <c r="B7" s="6" t="s">
        <v>7</v>
      </c>
      <c r="C7" s="10">
        <v>0</v>
      </c>
      <c r="D7" s="8">
        <v>2500</v>
      </c>
      <c r="E7" s="1">
        <f t="shared" si="0"/>
        <v>15250</v>
      </c>
    </row>
    <row r="8" spans="1:5" ht="43.2" x14ac:dyDescent="0.3">
      <c r="A8" s="4">
        <v>45935</v>
      </c>
      <c r="B8" s="6" t="s">
        <v>8</v>
      </c>
      <c r="C8" s="10">
        <v>4000</v>
      </c>
      <c r="D8" s="8">
        <v>0</v>
      </c>
      <c r="E8" s="1">
        <f t="shared" si="0"/>
        <v>19250</v>
      </c>
    </row>
    <row r="9" spans="1:5" ht="28.8" x14ac:dyDescent="0.3">
      <c r="A9" s="4">
        <v>45936</v>
      </c>
      <c r="B9" s="6" t="s">
        <v>9</v>
      </c>
      <c r="C9" s="10">
        <v>0</v>
      </c>
      <c r="D9" s="8">
        <v>3500</v>
      </c>
      <c r="E9" s="1">
        <f t="shared" si="0"/>
        <v>15750</v>
      </c>
    </row>
    <row r="10" spans="1:5" ht="43.2" x14ac:dyDescent="0.3">
      <c r="A10" s="4">
        <v>45937</v>
      </c>
      <c r="B10" s="6" t="s">
        <v>10</v>
      </c>
      <c r="C10" s="10">
        <v>0</v>
      </c>
      <c r="D10" s="8">
        <v>150</v>
      </c>
      <c r="E10" s="1">
        <f t="shared" si="0"/>
        <v>15600</v>
      </c>
    </row>
    <row r="11" spans="1:5" ht="43.2" x14ac:dyDescent="0.3">
      <c r="A11" s="4">
        <v>45937</v>
      </c>
      <c r="B11" s="6" t="s">
        <v>11</v>
      </c>
      <c r="C11" s="10">
        <v>1500</v>
      </c>
      <c r="D11" s="8">
        <v>0</v>
      </c>
      <c r="E11" s="1">
        <f t="shared" si="0"/>
        <v>17100</v>
      </c>
    </row>
    <row r="12" spans="1:5" ht="28.8" x14ac:dyDescent="0.3">
      <c r="A12" s="4">
        <v>45938</v>
      </c>
      <c r="B12" s="6" t="s">
        <v>12</v>
      </c>
      <c r="C12" s="10">
        <v>0</v>
      </c>
      <c r="D12" s="8">
        <v>400</v>
      </c>
      <c r="E12" s="1">
        <f t="shared" si="0"/>
        <v>16700</v>
      </c>
    </row>
    <row r="13" spans="1:5" ht="28.8" x14ac:dyDescent="0.3">
      <c r="A13" s="4">
        <v>45939</v>
      </c>
      <c r="B13" s="6" t="s">
        <v>13</v>
      </c>
      <c r="C13" s="10">
        <v>2500</v>
      </c>
      <c r="D13" s="8">
        <v>0</v>
      </c>
      <c r="E13" s="1">
        <f t="shared" si="0"/>
        <v>19200</v>
      </c>
    </row>
    <row r="14" spans="1:5" ht="43.2" x14ac:dyDescent="0.3">
      <c r="A14" s="4">
        <v>45940</v>
      </c>
      <c r="B14" s="6" t="s">
        <v>14</v>
      </c>
      <c r="C14" s="10">
        <v>0</v>
      </c>
      <c r="D14" s="8">
        <v>7000</v>
      </c>
      <c r="E14" s="1">
        <f t="shared" si="0"/>
        <v>12200</v>
      </c>
    </row>
    <row r="15" spans="1:5" ht="28.8" x14ac:dyDescent="0.3">
      <c r="A15" s="4">
        <v>45941</v>
      </c>
      <c r="B15" s="6" t="s">
        <v>15</v>
      </c>
      <c r="C15" s="10">
        <v>0</v>
      </c>
      <c r="D15" s="8">
        <v>350</v>
      </c>
      <c r="E15" s="1">
        <f t="shared" si="0"/>
        <v>11850</v>
      </c>
    </row>
    <row r="16" spans="1:5" ht="28.8" x14ac:dyDescent="0.3">
      <c r="A16" s="4">
        <v>45942</v>
      </c>
      <c r="B16" s="6" t="s">
        <v>16</v>
      </c>
      <c r="C16" s="10">
        <v>8000</v>
      </c>
      <c r="D16" s="8">
        <v>0</v>
      </c>
      <c r="E16" s="1">
        <f t="shared" si="0"/>
        <v>19850</v>
      </c>
    </row>
    <row r="17" spans="1:5" ht="28.8" x14ac:dyDescent="0.3">
      <c r="A17" s="4">
        <v>45943</v>
      </c>
      <c r="B17" s="6" t="s">
        <v>17</v>
      </c>
      <c r="C17" s="10">
        <v>0</v>
      </c>
      <c r="D17" s="8">
        <v>600</v>
      </c>
      <c r="E17" s="1">
        <f t="shared" si="0"/>
        <v>19250</v>
      </c>
    </row>
    <row r="18" spans="1:5" ht="28.8" x14ac:dyDescent="0.3">
      <c r="A18" s="4">
        <v>45944</v>
      </c>
      <c r="B18" s="6" t="s">
        <v>18</v>
      </c>
      <c r="C18" s="10">
        <v>7500</v>
      </c>
      <c r="D18" s="8"/>
      <c r="E18" s="1">
        <f>SUM((E11+C18)-D18)</f>
        <v>24600</v>
      </c>
    </row>
    <row r="19" spans="1:5" ht="43.2" x14ac:dyDescent="0.3">
      <c r="A19" s="4">
        <v>45945</v>
      </c>
      <c r="B19" s="6" t="s">
        <v>19</v>
      </c>
      <c r="C19" s="10">
        <v>9000</v>
      </c>
      <c r="D19" s="8">
        <v>0</v>
      </c>
      <c r="E19" s="1">
        <f t="shared" ref="E19:E40" si="1">SUM((E12+C19)-D19)</f>
        <v>25700</v>
      </c>
    </row>
    <row r="20" spans="1:5" ht="43.2" x14ac:dyDescent="0.3">
      <c r="A20" s="4">
        <v>45946</v>
      </c>
      <c r="B20" s="6" t="s">
        <v>20</v>
      </c>
      <c r="C20" s="10">
        <v>0</v>
      </c>
      <c r="D20" s="8">
        <v>1500</v>
      </c>
      <c r="E20" s="1">
        <f t="shared" si="1"/>
        <v>17700</v>
      </c>
    </row>
    <row r="21" spans="1:5" ht="28.8" x14ac:dyDescent="0.3">
      <c r="A21" s="4">
        <v>45947</v>
      </c>
      <c r="B21" s="6" t="s">
        <v>21</v>
      </c>
      <c r="C21" s="10">
        <v>0</v>
      </c>
      <c r="D21" s="8">
        <v>900</v>
      </c>
      <c r="E21" s="1">
        <f t="shared" si="1"/>
        <v>11300</v>
      </c>
    </row>
    <row r="22" spans="1:5" ht="28.8" x14ac:dyDescent="0.3">
      <c r="A22" s="4">
        <v>45947</v>
      </c>
      <c r="B22" s="6" t="s">
        <v>22</v>
      </c>
      <c r="C22" s="10">
        <v>3500</v>
      </c>
      <c r="D22" s="8">
        <v>0</v>
      </c>
      <c r="E22" s="1">
        <f t="shared" si="1"/>
        <v>15350</v>
      </c>
    </row>
    <row r="23" spans="1:5" ht="28.8" x14ac:dyDescent="0.3">
      <c r="A23" s="4">
        <v>45948</v>
      </c>
      <c r="B23" s="6" t="s">
        <v>23</v>
      </c>
      <c r="C23" s="10">
        <v>0</v>
      </c>
      <c r="D23" s="8">
        <v>450</v>
      </c>
      <c r="E23" s="1">
        <f t="shared" si="1"/>
        <v>19400</v>
      </c>
    </row>
    <row r="24" spans="1:5" ht="28.8" x14ac:dyDescent="0.3">
      <c r="A24" s="4">
        <v>45949</v>
      </c>
      <c r="B24" s="6" t="s">
        <v>24</v>
      </c>
      <c r="C24" s="10">
        <v>1900</v>
      </c>
      <c r="D24" s="8">
        <v>0</v>
      </c>
      <c r="E24" s="1">
        <f t="shared" si="1"/>
        <v>21150</v>
      </c>
    </row>
    <row r="25" spans="1:5" ht="28.8" x14ac:dyDescent="0.3">
      <c r="A25" s="4">
        <v>45950</v>
      </c>
      <c r="B25" s="6" t="s">
        <v>25</v>
      </c>
      <c r="C25" s="10">
        <v>0</v>
      </c>
      <c r="D25" s="8">
        <v>1100</v>
      </c>
      <c r="E25" s="1">
        <f t="shared" si="1"/>
        <v>23500</v>
      </c>
    </row>
    <row r="26" spans="1:5" x14ac:dyDescent="0.3">
      <c r="A26" s="4">
        <v>45951</v>
      </c>
      <c r="B26" s="6" t="s">
        <v>26</v>
      </c>
      <c r="C26" s="10">
        <v>0</v>
      </c>
      <c r="D26" s="8">
        <v>4200</v>
      </c>
      <c r="E26" s="1">
        <f t="shared" si="1"/>
        <v>21500</v>
      </c>
    </row>
    <row r="27" spans="1:5" ht="28.8" x14ac:dyDescent="0.3">
      <c r="A27" s="4">
        <v>45952</v>
      </c>
      <c r="B27" s="6" t="s">
        <v>27</v>
      </c>
      <c r="C27" s="10">
        <v>0</v>
      </c>
      <c r="D27" s="8">
        <v>180</v>
      </c>
      <c r="E27" s="1">
        <f t="shared" si="1"/>
        <v>17520</v>
      </c>
    </row>
    <row r="28" spans="1:5" ht="28.8" x14ac:dyDescent="0.3">
      <c r="A28" s="4">
        <v>45952</v>
      </c>
      <c r="B28" s="6" t="s">
        <v>45</v>
      </c>
      <c r="C28" s="10">
        <v>2800</v>
      </c>
      <c r="D28" s="8">
        <v>0</v>
      </c>
      <c r="E28" s="1">
        <f t="shared" si="1"/>
        <v>14100</v>
      </c>
    </row>
    <row r="29" spans="1:5" ht="28.8" x14ac:dyDescent="0.3">
      <c r="A29" s="4">
        <v>45953</v>
      </c>
      <c r="B29" s="6" t="s">
        <v>28</v>
      </c>
      <c r="C29" s="10">
        <v>5000</v>
      </c>
      <c r="D29" s="8">
        <v>0</v>
      </c>
      <c r="E29" s="1">
        <f t="shared" si="1"/>
        <v>20350</v>
      </c>
    </row>
    <row r="30" spans="1:5" ht="43.2" x14ac:dyDescent="0.3">
      <c r="A30" s="4">
        <v>45954</v>
      </c>
      <c r="B30" s="6" t="s">
        <v>29</v>
      </c>
      <c r="C30" s="10">
        <v>0</v>
      </c>
      <c r="D30" s="8">
        <v>5800</v>
      </c>
      <c r="E30" s="1">
        <f t="shared" si="1"/>
        <v>13600</v>
      </c>
    </row>
    <row r="31" spans="1:5" ht="43.2" x14ac:dyDescent="0.3">
      <c r="A31" s="4">
        <v>45955</v>
      </c>
      <c r="B31" s="6" t="s">
        <v>43</v>
      </c>
      <c r="C31" s="10">
        <v>6500</v>
      </c>
      <c r="D31" s="8">
        <v>0</v>
      </c>
      <c r="E31" s="1">
        <f t="shared" si="1"/>
        <v>27650</v>
      </c>
    </row>
    <row r="32" spans="1:5" ht="28.8" x14ac:dyDescent="0.3">
      <c r="A32" s="4">
        <v>45956</v>
      </c>
      <c r="B32" s="6" t="s">
        <v>30</v>
      </c>
      <c r="C32" s="10">
        <v>0</v>
      </c>
      <c r="D32" s="8">
        <v>300</v>
      </c>
      <c r="E32" s="1">
        <f t="shared" si="1"/>
        <v>23200</v>
      </c>
    </row>
    <row r="33" spans="1:5" ht="28.8" x14ac:dyDescent="0.3">
      <c r="A33" s="4">
        <v>45957</v>
      </c>
      <c r="B33" s="6" t="s">
        <v>31</v>
      </c>
      <c r="C33" s="10">
        <v>5200</v>
      </c>
      <c r="D33" s="8">
        <v>0</v>
      </c>
      <c r="E33" s="1">
        <f t="shared" si="1"/>
        <v>26700</v>
      </c>
    </row>
    <row r="34" spans="1:5" ht="28.8" x14ac:dyDescent="0.3">
      <c r="A34" s="4">
        <v>45957</v>
      </c>
      <c r="B34" s="6" t="s">
        <v>32</v>
      </c>
      <c r="C34" s="10">
        <v>0</v>
      </c>
      <c r="D34" s="8">
        <v>1200</v>
      </c>
      <c r="E34" s="1">
        <f t="shared" si="1"/>
        <v>16320</v>
      </c>
    </row>
    <row r="35" spans="1:5" ht="28.8" x14ac:dyDescent="0.3">
      <c r="A35" s="4">
        <v>45957</v>
      </c>
      <c r="B35" s="6" t="s">
        <v>33</v>
      </c>
      <c r="C35" s="10">
        <v>1800</v>
      </c>
      <c r="D35" s="8">
        <v>0</v>
      </c>
      <c r="E35" s="1">
        <f t="shared" si="1"/>
        <v>15900</v>
      </c>
    </row>
    <row r="36" spans="1:5" ht="43.2" x14ac:dyDescent="0.3">
      <c r="A36" s="4">
        <v>45957</v>
      </c>
      <c r="B36" s="6" t="s">
        <v>34</v>
      </c>
      <c r="C36" s="10">
        <v>0</v>
      </c>
      <c r="D36" s="8">
        <v>1800</v>
      </c>
      <c r="E36" s="1">
        <f t="shared" si="1"/>
        <v>18550</v>
      </c>
    </row>
    <row r="37" spans="1:5" ht="28.8" x14ac:dyDescent="0.3">
      <c r="A37" s="4">
        <v>45957</v>
      </c>
      <c r="B37" s="6" t="s">
        <v>35</v>
      </c>
      <c r="C37" s="10">
        <v>0</v>
      </c>
      <c r="D37" s="8">
        <v>1200</v>
      </c>
      <c r="E37" s="1">
        <f t="shared" si="1"/>
        <v>12400</v>
      </c>
    </row>
    <row r="38" spans="1:5" ht="43.2" x14ac:dyDescent="0.3">
      <c r="A38" s="4">
        <v>45957</v>
      </c>
      <c r="B38" s="6" t="s">
        <v>36</v>
      </c>
      <c r="C38" s="10">
        <v>12000</v>
      </c>
      <c r="D38" s="8">
        <v>0</v>
      </c>
      <c r="E38" s="1">
        <f t="shared" si="1"/>
        <v>39650</v>
      </c>
    </row>
    <row r="39" spans="1:5" ht="28.8" x14ac:dyDescent="0.3">
      <c r="A39" s="4">
        <v>45957</v>
      </c>
      <c r="B39" s="6" t="s">
        <v>37</v>
      </c>
      <c r="C39" s="10">
        <v>0</v>
      </c>
      <c r="D39" s="8">
        <v>3800</v>
      </c>
      <c r="E39" s="1">
        <f t="shared" si="1"/>
        <v>19400</v>
      </c>
    </row>
    <row r="40" spans="1:5" ht="28.8" x14ac:dyDescent="0.3">
      <c r="A40" s="4">
        <v>45957</v>
      </c>
      <c r="B40" s="6" t="s">
        <v>38</v>
      </c>
      <c r="C40" s="10">
        <v>1300</v>
      </c>
      <c r="D40" s="8">
        <v>0</v>
      </c>
      <c r="E40" s="1">
        <f t="shared" si="1"/>
        <v>28000</v>
      </c>
    </row>
    <row r="41" spans="1:5" x14ac:dyDescent="0.3">
      <c r="A41" s="4" t="s">
        <v>41</v>
      </c>
      <c r="B41" s="7" t="s">
        <v>39</v>
      </c>
      <c r="C41" s="11">
        <f>SUM(C4:C40)</f>
        <v>90500</v>
      </c>
      <c r="D41" s="9">
        <f>SUM(D19:D40)</f>
        <v>22430</v>
      </c>
      <c r="E41" s="1">
        <f>SUM((E34+C41)-D41)</f>
        <v>84390</v>
      </c>
    </row>
  </sheetData>
  <mergeCells count="1">
    <mergeCell ref="A1:E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Fluxo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Guilherme DV</dc:creator>
  <cp:lastModifiedBy>João Guilherme DV</cp:lastModifiedBy>
  <cp:lastPrinted>2025-10-27T21:16:36Z</cp:lastPrinted>
  <dcterms:created xsi:type="dcterms:W3CDTF">2025-10-27T19:25:42Z</dcterms:created>
  <dcterms:modified xsi:type="dcterms:W3CDTF">2025-10-27T21:18:52Z</dcterms:modified>
</cp:coreProperties>
</file>